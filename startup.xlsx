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bc2371bc83512/Desktop/internship project/"/>
    </mc:Choice>
  </mc:AlternateContent>
  <xr:revisionPtr revIDLastSave="80" documentId="13_ncr:1_{E022DC66-768E-4F82-B59C-8E179625D63C}" xr6:coauthVersionLast="47" xr6:coauthVersionMax="47" xr10:uidLastSave="{8AEB6F1F-9AA9-4192-961A-B719302A4323}"/>
  <bookViews>
    <workbookView xWindow="-108" yWindow="-108" windowWidth="23256" windowHeight="12456" activeTab="1" xr2:uid="{1A028BF4-9B76-4E73-B7B2-D552B35D4E29}"/>
  </bookViews>
  <sheets>
    <sheet name="Regression analysis" sheetId="4" r:id="rId1"/>
    <sheet name="Regression(Residuals)" sheetId="5" r:id="rId2"/>
    <sheet name="startup1" sheetId="1" r:id="rId3"/>
    <sheet name="Scatter plo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4" l="1"/>
  <c r="L8" i="4" l="1"/>
</calcChain>
</file>

<file path=xl/sharedStrings.xml><?xml version="1.0" encoding="utf-8"?>
<sst xmlns="http://schemas.openxmlformats.org/spreadsheetml/2006/main" count="118" uniqueCount="39">
  <si>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</si>
  <si>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</si>
  <si>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</si>
  <si>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</si>
  <si>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</si>
  <si>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</si>
  <si>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</si>
  <si>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</si>
  <si>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</si>
  <si>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</si>
  <si>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</si>
  <si>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</si>
  <si>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</si>
  <si>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</si>
  <si>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</si>
  <si>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</si>
  <si>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</si>
  <si>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</si>
  <si>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</si>
  <si>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</si>
  <si>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</si>
  <si>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</si>
  <si>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</si>
  <si>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</si>
  <si>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</si>
  <si>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</si>
  <si>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</si>
  <si>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</si>
  <si>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</si>
  <si>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</si>
  <si>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</si>
  <si>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</si>
  <si>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</si>
  <si>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</si>
  <si>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Profit</t>
  </si>
  <si>
    <t>Residuals</t>
  </si>
  <si>
    <t>spend 1</t>
  </si>
  <si>
    <t>spend 2</t>
  </si>
  <si>
    <t>Prediction for the given input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</si>
</sst>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RD_Spend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startup1!$E$1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startup1!$A$2:$A$51</c:f>
              <c:numCache>
                <c:formatCode>General</c:formatCode>
                <c:ptCount val="50"/>
                <c:pt idx="0">
                  <c:v>165349.20000000001</c:v>
                </c:pt>
                <c:pt idx="1">
                  <c:v>162597.70000000001</c:v>
                </c:pt>
                <c:pt idx="2">
                  <c:v>153441.51</c:v>
                </c:pt>
                <c:pt idx="3">
                  <c:v>144372.41</c:v>
                </c:pt>
                <c:pt idx="4">
                  <c:v>142107.34</c:v>
                </c:pt>
                <c:pt idx="5">
                  <c:v>131876.9</c:v>
                </c:pt>
                <c:pt idx="6">
                  <c:v>134615.46</c:v>
                </c:pt>
                <c:pt idx="7">
                  <c:v>130298.13</c:v>
                </c:pt>
                <c:pt idx="8">
                  <c:v>120542.52</c:v>
                </c:pt>
                <c:pt idx="9">
                  <c:v>123334.88</c:v>
                </c:pt>
                <c:pt idx="10">
                  <c:v>101913.08</c:v>
                </c:pt>
                <c:pt idx="11">
                  <c:v>100671.96</c:v>
                </c:pt>
                <c:pt idx="12">
                  <c:v>93863.75</c:v>
                </c:pt>
                <c:pt idx="13">
                  <c:v>91992.39</c:v>
                </c:pt>
                <c:pt idx="14">
                  <c:v>119943.24</c:v>
                </c:pt>
                <c:pt idx="15">
                  <c:v>114523.61</c:v>
                </c:pt>
                <c:pt idx="16">
                  <c:v>78013.11</c:v>
                </c:pt>
                <c:pt idx="17">
                  <c:v>94657.16</c:v>
                </c:pt>
                <c:pt idx="18">
                  <c:v>91749.16</c:v>
                </c:pt>
                <c:pt idx="19">
                  <c:v>86419.7</c:v>
                </c:pt>
                <c:pt idx="20">
                  <c:v>76253.86</c:v>
                </c:pt>
                <c:pt idx="21">
                  <c:v>78389.47</c:v>
                </c:pt>
                <c:pt idx="22">
                  <c:v>73994.559999999998</c:v>
                </c:pt>
                <c:pt idx="23">
                  <c:v>67532.53</c:v>
                </c:pt>
                <c:pt idx="24">
                  <c:v>77044.009999999995</c:v>
                </c:pt>
                <c:pt idx="25">
                  <c:v>64664.71</c:v>
                </c:pt>
                <c:pt idx="26">
                  <c:v>75328.87</c:v>
                </c:pt>
                <c:pt idx="27">
                  <c:v>72107.600000000006</c:v>
                </c:pt>
                <c:pt idx="28">
                  <c:v>66051.520000000004</c:v>
                </c:pt>
                <c:pt idx="29">
                  <c:v>65605.48</c:v>
                </c:pt>
                <c:pt idx="30">
                  <c:v>61994.48</c:v>
                </c:pt>
                <c:pt idx="31">
                  <c:v>61136.38</c:v>
                </c:pt>
                <c:pt idx="32">
                  <c:v>63408.86</c:v>
                </c:pt>
                <c:pt idx="33">
                  <c:v>55493.95</c:v>
                </c:pt>
                <c:pt idx="34">
                  <c:v>46426.07</c:v>
                </c:pt>
                <c:pt idx="35">
                  <c:v>46014.02</c:v>
                </c:pt>
                <c:pt idx="36">
                  <c:v>28663.759999999998</c:v>
                </c:pt>
                <c:pt idx="37">
                  <c:v>44069.95</c:v>
                </c:pt>
                <c:pt idx="38">
                  <c:v>20229.59</c:v>
                </c:pt>
                <c:pt idx="39">
                  <c:v>38558.51</c:v>
                </c:pt>
                <c:pt idx="40">
                  <c:v>28754.33</c:v>
                </c:pt>
                <c:pt idx="41">
                  <c:v>27892.92</c:v>
                </c:pt>
                <c:pt idx="42">
                  <c:v>23640.93</c:v>
                </c:pt>
                <c:pt idx="43">
                  <c:v>15505.73</c:v>
                </c:pt>
                <c:pt idx="44">
                  <c:v>22177.74</c:v>
                </c:pt>
                <c:pt idx="45">
                  <c:v>1000.23</c:v>
                </c:pt>
                <c:pt idx="46">
                  <c:v>1315.46</c:v>
                </c:pt>
                <c:pt idx="47">
                  <c:v>0</c:v>
                </c:pt>
                <c:pt idx="48">
                  <c:v>542.04999999999995</c:v>
                </c:pt>
                <c:pt idx="49">
                  <c:v>0</c:v>
                </c:pt>
              </c:numCache>
            </c:numRef>
          </c:xVal>
          <c:yVal>
            <c:numRef>
              <c:f>startup1!$E$2:$E$51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27-48E0-820F-4AFB87ACD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232976"/>
        <c:axId val="1803229616"/>
      </c:scatterChart>
      <c:valAx>
        <c:axId val="18032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startup1!$A$1</c:f>
              <c:strCache>
                <c:ptCount val="1"/>
                <c:pt idx="0">
                  <c:v>RD_Spend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29616"/>
        <c:crosses val="autoZero"/>
        <c:crossBetween val="midCat"/>
      </c:valAx>
      <c:valAx>
        <c:axId val="18032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startup1!$E$1</c:f>
              <c:strCache>
                <c:ptCount val="1"/>
                <c:pt idx="0">
                  <c:v>Profit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3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Administration vs</a:t>
            </a:r>
            <a:r>
              <a:rPr lang="en-US" baseline="0"/>
              <a:t> </a:t>
            </a: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startup1!$E$1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startup1!$B$2:$B$51</c:f>
              <c:numCache>
                <c:formatCode>General</c:formatCode>
                <c:ptCount val="50"/>
                <c:pt idx="0">
                  <c:v>136897.79999999999</c:v>
                </c:pt>
                <c:pt idx="1">
                  <c:v>151377.59</c:v>
                </c:pt>
                <c:pt idx="2">
                  <c:v>101145.55</c:v>
                </c:pt>
                <c:pt idx="3">
                  <c:v>118671.85</c:v>
                </c:pt>
                <c:pt idx="4">
                  <c:v>91391.77</c:v>
                </c:pt>
                <c:pt idx="5">
                  <c:v>99814.71</c:v>
                </c:pt>
                <c:pt idx="6">
                  <c:v>147198.87</c:v>
                </c:pt>
                <c:pt idx="7">
                  <c:v>145530.06</c:v>
                </c:pt>
                <c:pt idx="8">
                  <c:v>148718.95000000001</c:v>
                </c:pt>
                <c:pt idx="9">
                  <c:v>108679.17</c:v>
                </c:pt>
                <c:pt idx="10">
                  <c:v>110594.11</c:v>
                </c:pt>
                <c:pt idx="11">
                  <c:v>91790.61</c:v>
                </c:pt>
                <c:pt idx="12">
                  <c:v>127320.38</c:v>
                </c:pt>
                <c:pt idx="13">
                  <c:v>135495.07</c:v>
                </c:pt>
                <c:pt idx="14">
                  <c:v>156547.42000000001</c:v>
                </c:pt>
                <c:pt idx="15">
                  <c:v>122616.84</c:v>
                </c:pt>
                <c:pt idx="16">
                  <c:v>121597.55</c:v>
                </c:pt>
                <c:pt idx="17">
                  <c:v>145077.57999999999</c:v>
                </c:pt>
                <c:pt idx="18">
                  <c:v>114175.79</c:v>
                </c:pt>
                <c:pt idx="19">
                  <c:v>153514.10999999999</c:v>
                </c:pt>
                <c:pt idx="20">
                  <c:v>113867.3</c:v>
                </c:pt>
                <c:pt idx="21">
                  <c:v>153773.43</c:v>
                </c:pt>
                <c:pt idx="22">
                  <c:v>122782.75</c:v>
                </c:pt>
                <c:pt idx="23">
                  <c:v>105751.03</c:v>
                </c:pt>
                <c:pt idx="24">
                  <c:v>99281.34</c:v>
                </c:pt>
                <c:pt idx="25">
                  <c:v>139553.16</c:v>
                </c:pt>
                <c:pt idx="26">
                  <c:v>144135.98000000001</c:v>
                </c:pt>
                <c:pt idx="27">
                  <c:v>127864.55</c:v>
                </c:pt>
                <c:pt idx="28">
                  <c:v>182645.56</c:v>
                </c:pt>
                <c:pt idx="29">
                  <c:v>153032.06</c:v>
                </c:pt>
                <c:pt idx="30">
                  <c:v>115641.28</c:v>
                </c:pt>
                <c:pt idx="31">
                  <c:v>152701.92000000001</c:v>
                </c:pt>
                <c:pt idx="32">
                  <c:v>129219.61</c:v>
                </c:pt>
                <c:pt idx="33">
                  <c:v>103057.49</c:v>
                </c:pt>
                <c:pt idx="34">
                  <c:v>157693.92000000001</c:v>
                </c:pt>
                <c:pt idx="35">
                  <c:v>85047.44</c:v>
                </c:pt>
                <c:pt idx="36">
                  <c:v>127056.21</c:v>
                </c:pt>
                <c:pt idx="37">
                  <c:v>51283.14</c:v>
                </c:pt>
                <c:pt idx="38">
                  <c:v>65947.929999999993</c:v>
                </c:pt>
                <c:pt idx="39">
                  <c:v>82982.09</c:v>
                </c:pt>
                <c:pt idx="40">
                  <c:v>118546.05</c:v>
                </c:pt>
                <c:pt idx="41">
                  <c:v>84710.77</c:v>
                </c:pt>
                <c:pt idx="42">
                  <c:v>96189.63</c:v>
                </c:pt>
                <c:pt idx="43">
                  <c:v>127382.3</c:v>
                </c:pt>
                <c:pt idx="44">
                  <c:v>154806.14000000001</c:v>
                </c:pt>
                <c:pt idx="45">
                  <c:v>124153.04</c:v>
                </c:pt>
                <c:pt idx="46">
                  <c:v>115816.21</c:v>
                </c:pt>
                <c:pt idx="47">
                  <c:v>135426.92000000001</c:v>
                </c:pt>
                <c:pt idx="48">
                  <c:v>51743.15</c:v>
                </c:pt>
                <c:pt idx="49">
                  <c:v>116983.8</c:v>
                </c:pt>
              </c:numCache>
            </c:numRef>
          </c:xVal>
          <c:yVal>
            <c:numRef>
              <c:f>startup1!$E$2:$E$51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C0-4E84-BEE3-0DAEB2CB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844224"/>
        <c:axId val="1435849024"/>
      </c:scatterChart>
      <c:valAx>
        <c:axId val="143584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startup1!$B$1</c:f>
              <c:strCache>
                <c:ptCount val="1"/>
                <c:pt idx="0">
                  <c:v>Administration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49024"/>
        <c:crosses val="autoZero"/>
        <c:crossBetween val="midCat"/>
      </c:valAx>
      <c:valAx>
        <c:axId val="14358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startup1!$E$1</c:f>
              <c:strCache>
                <c:ptCount val="1"/>
                <c:pt idx="0">
                  <c:v>Profit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4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Marketing_Spend vsProfit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startup1!$E$1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startup1!$C$2:$C$51</c:f>
              <c:numCache>
                <c:formatCode>General</c:formatCode>
                <c:ptCount val="50"/>
                <c:pt idx="0">
                  <c:v>471784.1</c:v>
                </c:pt>
                <c:pt idx="1">
                  <c:v>443898.53</c:v>
                </c:pt>
                <c:pt idx="2">
                  <c:v>407934.54</c:v>
                </c:pt>
                <c:pt idx="3">
                  <c:v>383199.62</c:v>
                </c:pt>
                <c:pt idx="4">
                  <c:v>366168.42</c:v>
                </c:pt>
                <c:pt idx="5">
                  <c:v>362861.36</c:v>
                </c:pt>
                <c:pt idx="6">
                  <c:v>127716.82</c:v>
                </c:pt>
                <c:pt idx="7">
                  <c:v>323876.68</c:v>
                </c:pt>
                <c:pt idx="8">
                  <c:v>311613.28999999998</c:v>
                </c:pt>
                <c:pt idx="9">
                  <c:v>304981.62</c:v>
                </c:pt>
                <c:pt idx="10">
                  <c:v>229160.95</c:v>
                </c:pt>
                <c:pt idx="11">
                  <c:v>249744.55</c:v>
                </c:pt>
                <c:pt idx="12">
                  <c:v>249839.44</c:v>
                </c:pt>
                <c:pt idx="13">
                  <c:v>252664.93</c:v>
                </c:pt>
                <c:pt idx="14">
                  <c:v>256512.92</c:v>
                </c:pt>
                <c:pt idx="15">
                  <c:v>261776.23</c:v>
                </c:pt>
                <c:pt idx="16">
                  <c:v>264346.06</c:v>
                </c:pt>
                <c:pt idx="17">
                  <c:v>282574.31</c:v>
                </c:pt>
                <c:pt idx="18">
                  <c:v>294919.57</c:v>
                </c:pt>
                <c:pt idx="19">
                  <c:v>0</c:v>
                </c:pt>
                <c:pt idx="20">
                  <c:v>298664.46999999997</c:v>
                </c:pt>
                <c:pt idx="21">
                  <c:v>299737.28999999998</c:v>
                </c:pt>
                <c:pt idx="22">
                  <c:v>303319.26</c:v>
                </c:pt>
                <c:pt idx="23">
                  <c:v>304768.73</c:v>
                </c:pt>
                <c:pt idx="24">
                  <c:v>140574.81</c:v>
                </c:pt>
                <c:pt idx="25">
                  <c:v>137962.62</c:v>
                </c:pt>
                <c:pt idx="26">
                  <c:v>134050.07</c:v>
                </c:pt>
                <c:pt idx="27">
                  <c:v>353183.81</c:v>
                </c:pt>
                <c:pt idx="28">
                  <c:v>118148.2</c:v>
                </c:pt>
                <c:pt idx="29">
                  <c:v>107138.38</c:v>
                </c:pt>
                <c:pt idx="30">
                  <c:v>91131.24</c:v>
                </c:pt>
                <c:pt idx="31">
                  <c:v>88218.23</c:v>
                </c:pt>
                <c:pt idx="32">
                  <c:v>46085.25</c:v>
                </c:pt>
                <c:pt idx="33">
                  <c:v>214634.81</c:v>
                </c:pt>
                <c:pt idx="34">
                  <c:v>210797.67</c:v>
                </c:pt>
                <c:pt idx="35">
                  <c:v>205517.64</c:v>
                </c:pt>
                <c:pt idx="36">
                  <c:v>201126.82</c:v>
                </c:pt>
                <c:pt idx="37">
                  <c:v>197029.42</c:v>
                </c:pt>
                <c:pt idx="38">
                  <c:v>185265.1</c:v>
                </c:pt>
                <c:pt idx="39">
                  <c:v>174999.3</c:v>
                </c:pt>
                <c:pt idx="40">
                  <c:v>172795.67</c:v>
                </c:pt>
                <c:pt idx="41">
                  <c:v>164470.71</c:v>
                </c:pt>
                <c:pt idx="42">
                  <c:v>148001.10999999999</c:v>
                </c:pt>
                <c:pt idx="43">
                  <c:v>35534.17</c:v>
                </c:pt>
                <c:pt idx="44">
                  <c:v>28334.720000000001</c:v>
                </c:pt>
                <c:pt idx="45">
                  <c:v>1903.93</c:v>
                </c:pt>
                <c:pt idx="46">
                  <c:v>297114.46000000002</c:v>
                </c:pt>
                <c:pt idx="47">
                  <c:v>0</c:v>
                </c:pt>
                <c:pt idx="48">
                  <c:v>0</c:v>
                </c:pt>
                <c:pt idx="49">
                  <c:v>45173.06</c:v>
                </c:pt>
              </c:numCache>
            </c:numRef>
          </c:xVal>
          <c:yVal>
            <c:numRef>
              <c:f>startup1!$E$2:$E$51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C-4FA6-B490-886C7218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850944"/>
        <c:axId val="1435852864"/>
      </c:scatterChart>
      <c:valAx>
        <c:axId val="143585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startup1!$C$1</c:f>
              <c:strCache>
                <c:ptCount val="1"/>
                <c:pt idx="0">
                  <c:v>Marketing_Spend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52864"/>
        <c:crosses val="autoZero"/>
        <c:crossBetween val="midCat"/>
        <c:majorUnit val="50000"/>
      </c:valAx>
      <c:valAx>
        <c:axId val="14358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startup1!$E$1</c:f>
              <c:strCache>
                <c:ptCount val="1"/>
                <c:pt idx="0">
                  <c:v>Profit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5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594360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8E541-FF83-419B-A769-384D96A31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22860</xdr:rowOff>
    </xdr:from>
    <xdr:to>
      <xdr:col>9</xdr:col>
      <xdr:colOff>0</xdr:colOff>
      <xdr:row>36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A0D42-F2B4-42FB-BCD6-FFA55810D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</xdr:colOff>
      <xdr:row>0</xdr:row>
      <xdr:rowOff>0</xdr:rowOff>
    </xdr:from>
    <xdr:to>
      <xdr:col>18</xdr:col>
      <xdr:colOff>579120</xdr:colOff>
      <xdr:row>17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831A7A-5E72-4354-AFBB-9DE72E78E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57A6FE-4703-4E15-90A5-66D644CF9F97}" name="Table2" displayName="Table2" ref="A1:E51" totalsRowShown="0">
  <autoFilter ref="A1:E51" xr:uid="{0357A6FE-4703-4E15-90A5-66D644CF9F97}"/>
  <tableColumns count="5">
    <tableColumn id="1" xr3:uid="{1C5225EC-86AA-451C-A581-329197414C38}" name="RD_Spend"/>
    <tableColumn id="2" xr3:uid="{733477BB-7F97-4DC4-8580-A4D77FCA6B9C}" name="Administration"/>
    <tableColumn id="3" xr3:uid="{D67A6E67-E9CD-4CF5-B5AA-CE5098E9959B}" name="Marketing_Spend"/>
    <tableColumn id="4" xr3:uid="{009264FD-0013-4024-863B-5CFE80BFA658}" name="State"/>
    <tableColumn id="5" xr3:uid="{A0B306B1-E205-43E9-96EA-7D352B3B179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DF8B4-2F2E-490F-A116-4FA50FC7E8BF}">
  <dimension ref="A1:O20"/>
  <sheetViews>
    <sheetView workbookViewId="0">
      <selection activeCell="L6" sqref="L6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15" x14ac:dyDescent="0.3">
      <c r="A1" t="s">
        <v>8</v>
      </c>
    </row>
    <row r="2" spans="1:15" ht="15" thickBot="1" x14ac:dyDescent="0.35"/>
    <row r="3" spans="1:15" x14ac:dyDescent="0.3">
      <c r="A3" s="3" t="s">
        <v>9</v>
      </c>
      <c r="B3" s="3"/>
    </row>
    <row r="4" spans="1:15" x14ac:dyDescent="0.3">
      <c r="A4" t="s">
        <v>10</v>
      </c>
      <c r="B4">
        <v>0.97506204626594128</v>
      </c>
    </row>
    <row r="5" spans="1:15" x14ac:dyDescent="0.3">
      <c r="A5" t="s">
        <v>11</v>
      </c>
      <c r="B5">
        <v>0.95074599406832461</v>
      </c>
      <c r="L5" s="4" t="s">
        <v>38</v>
      </c>
      <c r="M5" s="4"/>
      <c r="N5" s="4"/>
      <c r="O5" s="4"/>
    </row>
    <row r="6" spans="1:15" x14ac:dyDescent="0.3">
      <c r="A6" t="s">
        <v>12</v>
      </c>
      <c r="B6">
        <v>0.94753377629017177</v>
      </c>
      <c r="L6">
        <f>B17+B18*21892.92+B19*81910.77+B20*164270.7</f>
        <v>70037.904765432817</v>
      </c>
      <c r="N6" t="s">
        <v>36</v>
      </c>
    </row>
    <row r="7" spans="1:15" x14ac:dyDescent="0.3">
      <c r="A7" t="s">
        <v>13</v>
      </c>
      <c r="B7">
        <v>9232.3348370026924</v>
      </c>
    </row>
    <row r="8" spans="1:15" ht="15" thickBot="1" x14ac:dyDescent="0.35">
      <c r="A8" s="1" t="s">
        <v>14</v>
      </c>
      <c r="B8" s="1">
        <v>50</v>
      </c>
      <c r="L8">
        <f>B17+B18*23940.93+B19*96489.63+B20*137001.1</f>
        <v>70554.572559926848</v>
      </c>
      <c r="N8" t="s">
        <v>37</v>
      </c>
    </row>
    <row r="10" spans="1:15" ht="15" thickBot="1" x14ac:dyDescent="0.35">
      <c r="A10" t="s">
        <v>15</v>
      </c>
    </row>
    <row r="11" spans="1:15" x14ac:dyDescent="0.3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15" x14ac:dyDescent="0.3">
      <c r="A12" t="s">
        <v>16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15" x14ac:dyDescent="0.3">
      <c r="A13" t="s">
        <v>17</v>
      </c>
      <c r="B13">
        <v>46</v>
      </c>
      <c r="C13">
        <v>3920856300.956542</v>
      </c>
      <c r="D13">
        <v>85236006.542533517</v>
      </c>
    </row>
    <row r="14" spans="1:15" ht="15" thickBot="1" x14ac:dyDescent="0.35">
      <c r="A14" s="1" t="s">
        <v>18</v>
      </c>
      <c r="B14" s="1">
        <v>49</v>
      </c>
      <c r="C14" s="1">
        <v>79604820497.149185</v>
      </c>
      <c r="D14" s="1"/>
      <c r="E14" s="1"/>
      <c r="F14" s="1"/>
    </row>
    <row r="15" spans="1:15" ht="15" thickBot="1" x14ac:dyDescent="0.35"/>
    <row r="16" spans="1:15" x14ac:dyDescent="0.3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">
      <c r="A17" t="s">
        <v>19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3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3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" thickBot="1" x14ac:dyDescent="0.35">
      <c r="A20" s="1" t="s">
        <v>2</v>
      </c>
      <c r="B20" s="1">
        <v>2.7228064800818939E-2</v>
      </c>
      <c r="C20" s="1">
        <v>1.645123451799518E-2</v>
      </c>
      <c r="D20" s="1">
        <v>1.6550772995811058</v>
      </c>
      <c r="E20" s="1">
        <v>0.10471681926658105</v>
      </c>
      <c r="F20" s="1">
        <v>-5.8865527572449679E-3</v>
      </c>
      <c r="G20" s="1">
        <v>6.0342682358882849E-2</v>
      </c>
      <c r="H20" s="1">
        <v>-5.8865527572449679E-3</v>
      </c>
      <c r="I20" s="1">
        <v>6.0342682358882849E-2</v>
      </c>
    </row>
  </sheetData>
  <mergeCells count="1">
    <mergeCell ref="L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E974-821D-47B3-8BEC-EB6FA367C0B1}">
  <dimension ref="A1:I76"/>
  <sheetViews>
    <sheetView tabSelected="1" workbookViewId="0">
      <selection activeCell="B37" sqref="B37"/>
    </sheetView>
  </sheetViews>
  <sheetFormatPr defaultRowHeight="14.4" x14ac:dyDescent="0.3"/>
  <cols>
    <col min="1" max="1" width="17.44140625" bestFit="1" customWidth="1"/>
    <col min="2" max="2" width="14.2187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8</v>
      </c>
    </row>
    <row r="2" spans="1:9" ht="15" thickBot="1" x14ac:dyDescent="0.35"/>
    <row r="3" spans="1:9" x14ac:dyDescent="0.3">
      <c r="A3" s="3" t="s">
        <v>9</v>
      </c>
      <c r="B3" s="3"/>
    </row>
    <row r="4" spans="1:9" x14ac:dyDescent="0.3">
      <c r="A4" t="s">
        <v>10</v>
      </c>
      <c r="B4">
        <v>0.97506204626594128</v>
      </c>
    </row>
    <row r="5" spans="1:9" x14ac:dyDescent="0.3">
      <c r="A5" t="s">
        <v>11</v>
      </c>
      <c r="B5">
        <v>0.95074599406832461</v>
      </c>
    </row>
    <row r="6" spans="1:9" x14ac:dyDescent="0.3">
      <c r="A6" t="s">
        <v>12</v>
      </c>
      <c r="B6">
        <v>0.94753377629017177</v>
      </c>
    </row>
    <row r="7" spans="1:9" x14ac:dyDescent="0.3">
      <c r="A7" t="s">
        <v>13</v>
      </c>
      <c r="B7">
        <v>9232.3348370026924</v>
      </c>
    </row>
    <row r="8" spans="1:9" ht="15" thickBot="1" x14ac:dyDescent="0.35">
      <c r="A8" s="1" t="s">
        <v>14</v>
      </c>
      <c r="B8" s="1">
        <v>50</v>
      </c>
    </row>
    <row r="10" spans="1:9" ht="15" thickBot="1" x14ac:dyDescent="0.35">
      <c r="A10" t="s">
        <v>15</v>
      </c>
    </row>
    <row r="11" spans="1:9" x14ac:dyDescent="0.3">
      <c r="A11" s="2"/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</row>
    <row r="12" spans="1:9" x14ac:dyDescent="0.3">
      <c r="A12" t="s">
        <v>16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9" x14ac:dyDescent="0.3">
      <c r="A13" t="s">
        <v>17</v>
      </c>
      <c r="B13">
        <v>46</v>
      </c>
      <c r="C13">
        <v>3920856300.956542</v>
      </c>
      <c r="D13">
        <v>85236006.542533517</v>
      </c>
    </row>
    <row r="14" spans="1:9" ht="15" thickBot="1" x14ac:dyDescent="0.35">
      <c r="A14" s="1" t="s">
        <v>18</v>
      </c>
      <c r="B14" s="1">
        <v>49</v>
      </c>
      <c r="C14" s="1">
        <v>79604820497.149185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25</v>
      </c>
      <c r="C16" s="2" t="s">
        <v>13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</row>
    <row r="17" spans="1:9" x14ac:dyDescent="0.3">
      <c r="A17" t="s">
        <v>19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3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3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" thickBot="1" x14ac:dyDescent="0.35">
      <c r="A20" s="1" t="s">
        <v>2</v>
      </c>
      <c r="B20" s="1">
        <v>2.7228064800818939E-2</v>
      </c>
      <c r="C20" s="1">
        <v>1.645123451799518E-2</v>
      </c>
      <c r="D20" s="1">
        <v>1.6550772995811058</v>
      </c>
      <c r="E20" s="1">
        <v>0.10471681926658105</v>
      </c>
      <c r="F20" s="1">
        <v>-5.8865527572449679E-3</v>
      </c>
      <c r="G20" s="1">
        <v>6.0342682358882849E-2</v>
      </c>
      <c r="H20" s="1">
        <v>-5.8865527572449679E-3</v>
      </c>
      <c r="I20" s="1">
        <v>6.0342682358882849E-2</v>
      </c>
    </row>
    <row r="24" spans="1:9" x14ac:dyDescent="0.3">
      <c r="A24" t="s">
        <v>32</v>
      </c>
    </row>
    <row r="25" spans="1:9" ht="15" thickBot="1" x14ac:dyDescent="0.35"/>
    <row r="26" spans="1:9" x14ac:dyDescent="0.3">
      <c r="A26" s="2" t="s">
        <v>33</v>
      </c>
      <c r="B26" s="2" t="s">
        <v>34</v>
      </c>
      <c r="C26" s="2" t="s">
        <v>35</v>
      </c>
    </row>
    <row r="27" spans="1:9" x14ac:dyDescent="0.3">
      <c r="A27">
        <v>1</v>
      </c>
      <c r="B27">
        <v>192521.25289007861</v>
      </c>
      <c r="C27">
        <v>-259.42289007862564</v>
      </c>
    </row>
    <row r="28" spans="1:9" x14ac:dyDescent="0.3">
      <c r="A28">
        <v>2</v>
      </c>
      <c r="B28">
        <v>189156.76823226505</v>
      </c>
      <c r="C28">
        <v>2635.2917677349469</v>
      </c>
    </row>
    <row r="29" spans="1:9" x14ac:dyDescent="0.3">
      <c r="A29">
        <v>3</v>
      </c>
      <c r="B29">
        <v>182147.2790962049</v>
      </c>
      <c r="C29">
        <v>8903.1109037951101</v>
      </c>
    </row>
    <row r="30" spans="1:9" x14ac:dyDescent="0.3">
      <c r="A30">
        <v>4</v>
      </c>
      <c r="B30">
        <v>173696.70002553402</v>
      </c>
      <c r="C30">
        <v>9205.2899744659662</v>
      </c>
    </row>
    <row r="31" spans="1:9" x14ac:dyDescent="0.3">
      <c r="A31">
        <v>5</v>
      </c>
      <c r="B31">
        <v>172139.51418327194</v>
      </c>
      <c r="C31">
        <v>-5951.5741832719359</v>
      </c>
    </row>
    <row r="32" spans="1:9" x14ac:dyDescent="0.3">
      <c r="A32">
        <v>6</v>
      </c>
      <c r="B32">
        <v>163580.78057120083</v>
      </c>
      <c r="C32">
        <v>-6589.6605712008313</v>
      </c>
    </row>
    <row r="33" spans="1:3" x14ac:dyDescent="0.3">
      <c r="A33">
        <v>7</v>
      </c>
      <c r="B33">
        <v>158114.09666864749</v>
      </c>
      <c r="C33">
        <v>-1991.5866686474765</v>
      </c>
    </row>
    <row r="34" spans="1:3" x14ac:dyDescent="0.3">
      <c r="A34">
        <v>8</v>
      </c>
      <c r="B34">
        <v>160021.36304781117</v>
      </c>
      <c r="C34">
        <v>-4268.7630478111678</v>
      </c>
    </row>
    <row r="35" spans="1:3" x14ac:dyDescent="0.3">
      <c r="A35">
        <v>9</v>
      </c>
      <c r="B35">
        <v>151741.6996986506</v>
      </c>
      <c r="C35">
        <v>470.07030134939123</v>
      </c>
    </row>
    <row r="36" spans="1:3" x14ac:dyDescent="0.3">
      <c r="A36">
        <v>10</v>
      </c>
      <c r="B36">
        <v>154884.68410994846</v>
      </c>
      <c r="C36">
        <v>-5124.7241099484672</v>
      </c>
    </row>
    <row r="37" spans="1:3" x14ac:dyDescent="0.3">
      <c r="A37">
        <v>11</v>
      </c>
      <c r="B37">
        <v>135509.01636714404</v>
      </c>
      <c r="C37">
        <v>10612.933632855973</v>
      </c>
    </row>
    <row r="38" spans="1:3" x14ac:dyDescent="0.3">
      <c r="A38">
        <v>12</v>
      </c>
      <c r="B38">
        <v>135573.71296073747</v>
      </c>
      <c r="C38">
        <v>8685.6870392625278</v>
      </c>
    </row>
    <row r="39" spans="1:3" x14ac:dyDescent="0.3">
      <c r="A39">
        <v>13</v>
      </c>
      <c r="B39">
        <v>129138.05418242674</v>
      </c>
      <c r="C39">
        <v>12447.465817573247</v>
      </c>
    </row>
    <row r="40" spans="1:3" x14ac:dyDescent="0.3">
      <c r="A40">
        <v>14</v>
      </c>
      <c r="B40">
        <v>127487.9916627536</v>
      </c>
      <c r="C40">
        <v>6819.3583372464054</v>
      </c>
    </row>
    <row r="41" spans="1:3" x14ac:dyDescent="0.3">
      <c r="A41">
        <v>15</v>
      </c>
      <c r="B41">
        <v>149548.64633452875</v>
      </c>
      <c r="C41">
        <v>-16945.996334528754</v>
      </c>
    </row>
    <row r="42" spans="1:3" x14ac:dyDescent="0.3">
      <c r="A42">
        <v>16</v>
      </c>
      <c r="B42">
        <v>146235.15998519622</v>
      </c>
      <c r="C42">
        <v>-16318.11998519623</v>
      </c>
    </row>
    <row r="43" spans="1:3" x14ac:dyDescent="0.3">
      <c r="A43">
        <v>17</v>
      </c>
      <c r="B43">
        <v>116915.40540143967</v>
      </c>
      <c r="C43">
        <v>10077.524598560325</v>
      </c>
    </row>
    <row r="44" spans="1:3" x14ac:dyDescent="0.3">
      <c r="A44">
        <v>18</v>
      </c>
      <c r="B44">
        <v>130192.44720780753</v>
      </c>
      <c r="C44">
        <v>-4822.0772078075388</v>
      </c>
    </row>
    <row r="45" spans="1:3" x14ac:dyDescent="0.3">
      <c r="A45">
        <v>19</v>
      </c>
      <c r="B45">
        <v>129014.22680589673</v>
      </c>
      <c r="C45">
        <v>-4747.3268058967369</v>
      </c>
    </row>
    <row r="46" spans="1:3" x14ac:dyDescent="0.3">
      <c r="A46">
        <v>20</v>
      </c>
      <c r="B46">
        <v>115635.21636716051</v>
      </c>
      <c r="C46">
        <v>7141.6436328394921</v>
      </c>
    </row>
    <row r="47" spans="1:3" x14ac:dyDescent="0.3">
      <c r="A47">
        <v>21</v>
      </c>
      <c r="B47">
        <v>116639.66923089999</v>
      </c>
      <c r="C47">
        <v>1834.360769100007</v>
      </c>
    </row>
    <row r="48" spans="1:3" x14ac:dyDescent="0.3">
      <c r="A48">
        <v>22</v>
      </c>
      <c r="B48">
        <v>117319.45164029335</v>
      </c>
      <c r="C48">
        <v>-6006.4316402933473</v>
      </c>
    </row>
    <row r="49" spans="1:3" x14ac:dyDescent="0.3">
      <c r="A49">
        <v>23</v>
      </c>
      <c r="B49">
        <v>114706.98171695457</v>
      </c>
      <c r="C49">
        <v>-4354.7317169545713</v>
      </c>
    </row>
    <row r="50" spans="1:3" x14ac:dyDescent="0.3">
      <c r="A50">
        <v>24</v>
      </c>
      <c r="B50">
        <v>109996.61522126263</v>
      </c>
      <c r="C50">
        <v>-1262.6252212626277</v>
      </c>
    </row>
    <row r="51" spans="1:3" x14ac:dyDescent="0.3">
      <c r="A51">
        <v>25</v>
      </c>
      <c r="B51">
        <v>113362.96611313859</v>
      </c>
      <c r="C51">
        <v>-4810.9261131386011</v>
      </c>
    </row>
    <row r="52" spans="1:3" x14ac:dyDescent="0.3">
      <c r="A52">
        <v>26</v>
      </c>
      <c r="B52">
        <v>102237.72506480548</v>
      </c>
      <c r="C52">
        <v>5166.6149351945205</v>
      </c>
    </row>
    <row r="53" spans="1:3" x14ac:dyDescent="0.3">
      <c r="A53">
        <v>27</v>
      </c>
      <c r="B53">
        <v>110600.57535029967</v>
      </c>
      <c r="C53">
        <v>-4867.0353502996732</v>
      </c>
    </row>
    <row r="54" spans="1:3" x14ac:dyDescent="0.3">
      <c r="A54">
        <v>28</v>
      </c>
      <c r="B54">
        <v>114408.0714568408</v>
      </c>
      <c r="C54">
        <v>-9399.7614568408026</v>
      </c>
    </row>
    <row r="55" spans="1:3" x14ac:dyDescent="0.3">
      <c r="A55">
        <v>29</v>
      </c>
      <c r="B55">
        <v>101660.02600497453</v>
      </c>
      <c r="C55">
        <v>1622.3539950254781</v>
      </c>
    </row>
    <row r="56" spans="1:3" x14ac:dyDescent="0.3">
      <c r="A56">
        <v>30</v>
      </c>
      <c r="B56">
        <v>101794.9834517627</v>
      </c>
      <c r="C56">
        <v>-790.3434517627029</v>
      </c>
    </row>
    <row r="57" spans="1:3" x14ac:dyDescent="0.3">
      <c r="A57">
        <v>31</v>
      </c>
      <c r="B57">
        <v>99452.372936056257</v>
      </c>
      <c r="C57">
        <v>485.21706394373905</v>
      </c>
    </row>
    <row r="58" spans="1:3" x14ac:dyDescent="0.3">
      <c r="A58">
        <v>32</v>
      </c>
      <c r="B58">
        <v>97687.856275748869</v>
      </c>
      <c r="C58">
        <v>-204.29627574887127</v>
      </c>
    </row>
    <row r="59" spans="1:3" x14ac:dyDescent="0.3">
      <c r="A59">
        <v>33</v>
      </c>
      <c r="B59">
        <v>99001.328985485539</v>
      </c>
      <c r="C59">
        <v>-1573.4889854855428</v>
      </c>
    </row>
    <row r="60" spans="1:3" x14ac:dyDescent="0.3">
      <c r="A60">
        <v>34</v>
      </c>
      <c r="B60">
        <v>97915.007804646128</v>
      </c>
      <c r="C60">
        <v>-1136.0878046461294</v>
      </c>
    </row>
    <row r="61" spans="1:3" x14ac:dyDescent="0.3">
      <c r="A61">
        <v>35</v>
      </c>
      <c r="B61">
        <v>89039.273741164317</v>
      </c>
      <c r="C61">
        <v>7673.5262588356854</v>
      </c>
    </row>
    <row r="62" spans="1:3" x14ac:dyDescent="0.3">
      <c r="A62">
        <v>36</v>
      </c>
      <c r="B62">
        <v>90511.599567526195</v>
      </c>
      <c r="C62">
        <v>5967.9104324738</v>
      </c>
    </row>
    <row r="63" spans="1:3" x14ac:dyDescent="0.3">
      <c r="A63">
        <v>37</v>
      </c>
      <c r="B63">
        <v>75286.174585463974</v>
      </c>
      <c r="C63">
        <v>15422.015414536028</v>
      </c>
    </row>
    <row r="64" spans="1:3" x14ac:dyDescent="0.3">
      <c r="A64">
        <v>38</v>
      </c>
      <c r="B64">
        <v>89619.537707903772</v>
      </c>
      <c r="C64">
        <v>329.60229209622776</v>
      </c>
    </row>
    <row r="65" spans="1:3" x14ac:dyDescent="0.3">
      <c r="A65">
        <v>39</v>
      </c>
      <c r="B65">
        <v>69697.430648041249</v>
      </c>
      <c r="C65">
        <v>11531.629351958749</v>
      </c>
    </row>
    <row r="66" spans="1:3" x14ac:dyDescent="0.3">
      <c r="A66">
        <v>40</v>
      </c>
      <c r="B66">
        <v>83729.01197691953</v>
      </c>
      <c r="C66">
        <v>-2723.2519769195351</v>
      </c>
    </row>
    <row r="67" spans="1:3" x14ac:dyDescent="0.3">
      <c r="A67">
        <v>41</v>
      </c>
      <c r="B67">
        <v>74815.953991047383</v>
      </c>
      <c r="C67">
        <v>3423.9560089526203</v>
      </c>
    </row>
    <row r="68" spans="1:3" x14ac:dyDescent="0.3">
      <c r="A68">
        <v>42</v>
      </c>
      <c r="B68">
        <v>74802.556238662772</v>
      </c>
      <c r="C68">
        <v>2996.2737613372301</v>
      </c>
    </row>
    <row r="69" spans="1:3" x14ac:dyDescent="0.3">
      <c r="A69">
        <v>43</v>
      </c>
      <c r="B69">
        <v>70620.411820560214</v>
      </c>
      <c r="C69">
        <v>878.07817943979171</v>
      </c>
    </row>
    <row r="70" spans="1:3" x14ac:dyDescent="0.3">
      <c r="A70">
        <v>44</v>
      </c>
      <c r="B70">
        <v>60167.039963347939</v>
      </c>
      <c r="C70">
        <v>9591.9400366520567</v>
      </c>
    </row>
    <row r="71" spans="1:3" x14ac:dyDescent="0.3">
      <c r="A71">
        <v>45</v>
      </c>
      <c r="B71">
        <v>64611.354915703319</v>
      </c>
      <c r="C71">
        <v>588.97508429668233</v>
      </c>
    </row>
    <row r="72" spans="1:3" x14ac:dyDescent="0.3">
      <c r="A72">
        <v>46</v>
      </c>
      <c r="B72">
        <v>47650.649686906458</v>
      </c>
      <c r="C72">
        <v>17275.430313093544</v>
      </c>
    </row>
    <row r="73" spans="1:3" x14ac:dyDescent="0.3">
      <c r="A73">
        <v>47</v>
      </c>
      <c r="B73">
        <v>56166.206852607917</v>
      </c>
      <c r="C73">
        <v>-6675.4568526079165</v>
      </c>
    </row>
    <row r="74" spans="1:3" x14ac:dyDescent="0.3">
      <c r="A74">
        <v>48</v>
      </c>
      <c r="B74">
        <v>46490.588983346803</v>
      </c>
      <c r="C74">
        <v>-3930.8589833467995</v>
      </c>
    </row>
    <row r="75" spans="1:3" x14ac:dyDescent="0.3">
      <c r="A75">
        <v>49</v>
      </c>
      <c r="B75">
        <v>49171.388157627247</v>
      </c>
      <c r="C75">
        <v>-13497.978157627243</v>
      </c>
    </row>
    <row r="76" spans="1:3" ht="15" thickBot="1" x14ac:dyDescent="0.35">
      <c r="A76" s="1">
        <v>50</v>
      </c>
      <c r="B76" s="1">
        <v>48215.134111298677</v>
      </c>
      <c r="C76" s="1">
        <v>-33533.734111298676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FCEA-C1FE-47C9-9DC1-74C9B1EA875A}">
  <dimension ref="A1:E51"/>
  <sheetViews>
    <sheetView workbookViewId="0">
      <selection activeCell="Y38" sqref="Y38"/>
    </sheetView>
  </sheetViews>
  <sheetFormatPr defaultRowHeight="14.4" x14ac:dyDescent="0.3"/>
  <cols>
    <col min="1" max="1" width="11.5546875" customWidth="1"/>
    <col min="2" max="2" width="15.33203125" customWidth="1"/>
    <col min="3" max="3" width="17.88671875" customWidth="1"/>
    <col min="5" max="5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</row>
    <row r="3" spans="1:5" x14ac:dyDescent="0.3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5" x14ac:dyDescent="0.3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 x14ac:dyDescent="0.3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 x14ac:dyDescent="0.3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 x14ac:dyDescent="0.3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 x14ac:dyDescent="0.3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 x14ac:dyDescent="0.3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 x14ac:dyDescent="0.3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5" x14ac:dyDescent="0.3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 x14ac:dyDescent="0.3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</row>
    <row r="13" spans="1:5" x14ac:dyDescent="0.3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 x14ac:dyDescent="0.3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</row>
    <row r="15" spans="1:5" x14ac:dyDescent="0.3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 x14ac:dyDescent="0.3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5" x14ac:dyDescent="0.3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5" x14ac:dyDescent="0.3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5" x14ac:dyDescent="0.3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</row>
    <row r="20" spans="1:5" x14ac:dyDescent="0.3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5" x14ac:dyDescent="0.3">
      <c r="A21">
        <v>86419.7</v>
      </c>
      <c r="B21">
        <v>153514.10999999999</v>
      </c>
      <c r="C21">
        <v>0</v>
      </c>
      <c r="D21" t="s">
        <v>5</v>
      </c>
      <c r="E21">
        <v>122776.86</v>
      </c>
    </row>
    <row r="22" spans="1:5" x14ac:dyDescent="0.3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5" x14ac:dyDescent="0.3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5" x14ac:dyDescent="0.3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5" x14ac:dyDescent="0.3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5" x14ac:dyDescent="0.3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</row>
    <row r="27" spans="1:5" x14ac:dyDescent="0.3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5" x14ac:dyDescent="0.3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</row>
    <row r="29" spans="1:5" x14ac:dyDescent="0.3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</row>
    <row r="30" spans="1:5" x14ac:dyDescent="0.3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</row>
    <row r="31" spans="1:5" x14ac:dyDescent="0.3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5" x14ac:dyDescent="0.3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 x14ac:dyDescent="0.3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</row>
    <row r="34" spans="1:5" x14ac:dyDescent="0.3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5" x14ac:dyDescent="0.3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 x14ac:dyDescent="0.3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</row>
    <row r="37" spans="1:5" x14ac:dyDescent="0.3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 x14ac:dyDescent="0.3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</row>
    <row r="39" spans="1:5" x14ac:dyDescent="0.3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 x14ac:dyDescent="0.3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5" x14ac:dyDescent="0.3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</row>
    <row r="42" spans="1:5" x14ac:dyDescent="0.3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 x14ac:dyDescent="0.3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 x14ac:dyDescent="0.3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</row>
    <row r="45" spans="1:5" x14ac:dyDescent="0.3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 x14ac:dyDescent="0.3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5" x14ac:dyDescent="0.3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5" x14ac:dyDescent="0.3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5" x14ac:dyDescent="0.3">
      <c r="A49">
        <v>0</v>
      </c>
      <c r="B49">
        <v>135426.92000000001</v>
      </c>
      <c r="C49">
        <v>0</v>
      </c>
      <c r="D49" t="s">
        <v>6</v>
      </c>
      <c r="E49">
        <v>42559.73</v>
      </c>
    </row>
    <row r="50" spans="1:5" x14ac:dyDescent="0.3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5" x14ac:dyDescent="0.3">
      <c r="A51">
        <v>0</v>
      </c>
      <c r="B51">
        <v>116983.8</v>
      </c>
      <c r="C51">
        <v>45173.06</v>
      </c>
      <c r="D51" t="s">
        <v>6</v>
      </c>
      <c r="E51">
        <v>14681.4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8700-A7CB-4E64-BFFF-CAAD99BEF14B}">
  <dimension ref="A1"/>
  <sheetViews>
    <sheetView zoomScale="60" zoomScaleNormal="60" workbookViewId="0">
      <selection activeCell="R32" sqref="R3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D5072-B666-42B2-AE2A-FD80CA946B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 analysis</vt:lpstr>
      <vt:lpstr>Regression(Residuals)</vt:lpstr>
      <vt:lpstr>startup1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choudharyjitendra25@outlook.com</cp:lastModifiedBy>
  <dcterms:created xsi:type="dcterms:W3CDTF">2025-05-06T13:46:06Z</dcterms:created>
  <dcterms:modified xsi:type="dcterms:W3CDTF">2025-05-15T06:03:53Z</dcterms:modified>
</cp:coreProperties>
</file>